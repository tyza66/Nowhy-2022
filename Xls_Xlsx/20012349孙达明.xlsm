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90" windowWidth="14940" windowHeight="6165" firstSheet="1" activeTab="1"/>
  </bookViews>
  <sheets>
    <sheet name="Sheet1" sheetId="13" state="hidden" r:id="rId1"/>
    <sheet name="分类统计表" sheetId="14" r:id="rId2"/>
  </sheets>
  <functionGroups/>
  <calcPr calcId="124519"/>
</workbook>
</file>

<file path=xl/calcChain.xml><?xml version="1.0" encoding="utf-8"?>
<calcChain xmlns="http://schemas.openxmlformats.org/spreadsheetml/2006/main">
  <c r="F17" i="14"/>
  <c r="E17"/>
  <c r="D17"/>
  <c r="C17"/>
  <c r="H16"/>
  <c r="I16" s="1"/>
  <c r="G16"/>
  <c r="I15"/>
  <c r="H15"/>
  <c r="G15"/>
  <c r="H14"/>
  <c r="I14" s="1"/>
  <c r="G14"/>
  <c r="I13"/>
  <c r="H13"/>
  <c r="G13"/>
  <c r="F12"/>
  <c r="E12"/>
  <c r="D12"/>
  <c r="C12"/>
  <c r="H11"/>
  <c r="I11" s="1"/>
  <c r="G11"/>
  <c r="I10"/>
  <c r="H10"/>
  <c r="G10"/>
  <c r="H9"/>
  <c r="I9" s="1"/>
  <c r="G9"/>
  <c r="I8"/>
  <c r="H8"/>
  <c r="G8"/>
  <c r="F7"/>
  <c r="F18" s="1"/>
  <c r="E7"/>
  <c r="E18" s="1"/>
  <c r="D7"/>
  <c r="D18" s="1"/>
  <c r="C7"/>
  <c r="C18" s="1"/>
  <c r="H6"/>
  <c r="I6" s="1"/>
  <c r="G6"/>
  <c r="I5"/>
  <c r="H5"/>
  <c r="G5"/>
  <c r="H4"/>
  <c r="I4" s="1"/>
  <c r="G4"/>
  <c r="I3"/>
  <c r="H3"/>
  <c r="H14" i="13"/>
  <c r="I14" s="1"/>
  <c r="G14"/>
  <c r="I13"/>
  <c r="H13"/>
  <c r="G13"/>
  <c r="H12"/>
  <c r="I12" s="1"/>
  <c r="G12"/>
  <c r="I11"/>
  <c r="H11"/>
  <c r="G11"/>
  <c r="H10"/>
  <c r="I10" s="1"/>
  <c r="G10"/>
  <c r="I9"/>
  <c r="H9"/>
  <c r="G9"/>
  <c r="H8"/>
  <c r="I8" s="1"/>
  <c r="G8"/>
  <c r="I7"/>
  <c r="H7"/>
  <c r="G7"/>
  <c r="H6"/>
  <c r="I6" s="1"/>
  <c r="G6"/>
  <c r="I5"/>
  <c r="H5"/>
  <c r="G5"/>
  <c r="H4"/>
  <c r="I4" s="1"/>
  <c r="G4"/>
  <c r="I3"/>
  <c r="H3"/>
  <c r="G3"/>
  <c r="G3" i="14"/>
</calcChain>
</file>

<file path=xl/sharedStrings.xml><?xml version="1.0" encoding="utf-8"?>
<sst xmlns="http://schemas.openxmlformats.org/spreadsheetml/2006/main" count="49" uniqueCount="27">
  <si>
    <t>计算机专业成绩表</t>
  </si>
  <si>
    <t>姓名</t>
  </si>
  <si>
    <t>班级</t>
  </si>
  <si>
    <t>数学</t>
  </si>
  <si>
    <t>外语</t>
  </si>
  <si>
    <t>计算机基础</t>
  </si>
  <si>
    <t>C语言</t>
  </si>
  <si>
    <t>总分</t>
  </si>
  <si>
    <t>平均分</t>
  </si>
  <si>
    <t>总评</t>
  </si>
  <si>
    <t>吴华</t>
  </si>
  <si>
    <t>钱玲</t>
  </si>
  <si>
    <t>张家鸣</t>
  </si>
  <si>
    <t>杨梅华</t>
  </si>
  <si>
    <t>汤沐化</t>
  </si>
  <si>
    <t>万科</t>
  </si>
  <si>
    <t>苏丹平</t>
  </si>
  <si>
    <t>黄亚非</t>
  </si>
  <si>
    <t>王华</t>
  </si>
  <si>
    <t>张琦</t>
  </si>
  <si>
    <t xml:space="preserve">   </t>
  </si>
  <si>
    <t>谢兰</t>
  </si>
  <si>
    <t>高鹏</t>
  </si>
  <si>
    <t>1 平均值</t>
  </si>
  <si>
    <t>2 平均值</t>
  </si>
  <si>
    <t>3 平均值</t>
  </si>
  <si>
    <t>总平均值</t>
  </si>
</sst>
</file>

<file path=xl/styles.xml><?xml version="1.0" encoding="utf-8"?>
<styleSheet xmlns="http://schemas.openxmlformats.org/spreadsheetml/2006/main">
  <numFmts count="1">
    <numFmt numFmtId="176" formatCode="0.0_ "/>
  </numFmts>
  <fonts count="8">
    <font>
      <sz val="11"/>
      <color theme="1"/>
      <name val="宋体"/>
      <family val="2"/>
      <charset val="162"/>
      <scheme val="minor"/>
    </font>
    <font>
      <sz val="11"/>
      <color theme="1"/>
      <name val="宋体"/>
      <charset val="134"/>
      <scheme val="minor"/>
    </font>
    <font>
      <sz val="14"/>
      <color theme="1"/>
      <name val="宋体"/>
      <charset val="134"/>
    </font>
    <font>
      <sz val="9"/>
      <name val="宋体"/>
      <family val="3"/>
      <charset val="134"/>
      <scheme val="minor"/>
    </font>
    <font>
      <sz val="14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5" fillId="0" borderId="0">
      <alignment vertical="center"/>
    </xf>
  </cellStyleXfs>
  <cellXfs count="27">
    <xf numFmtId="0" fontId="0" fillId="0" borderId="0" xfId="0"/>
    <xf numFmtId="0" fontId="2" fillId="2" borderId="1" xfId="1" applyFont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5" fillId="0" borderId="0" xfId="1" applyFont="1">
      <alignment vertical="center"/>
    </xf>
    <xf numFmtId="0" fontId="6" fillId="0" borderId="4" xfId="1" applyFont="1" applyBorder="1" applyAlignment="1">
      <alignment horizontal="center" vertical="center"/>
    </xf>
    <xf numFmtId="0" fontId="6" fillId="0" borderId="5" xfId="1" applyFont="1" applyBorder="1" applyAlignment="1">
      <alignment horizontal="center" vertical="center"/>
    </xf>
    <xf numFmtId="0" fontId="6" fillId="0" borderId="6" xfId="1" applyFont="1" applyBorder="1" applyAlignment="1">
      <alignment horizontal="center" vertical="center"/>
    </xf>
    <xf numFmtId="176" fontId="6" fillId="0" borderId="5" xfId="1" applyNumberFormat="1" applyFont="1" applyBorder="1" applyAlignment="1">
      <alignment horizontal="center" vertical="center"/>
    </xf>
    <xf numFmtId="0" fontId="6" fillId="0" borderId="7" xfId="1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176" fontId="6" fillId="0" borderId="8" xfId="1" applyNumberFormat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4" fillId="2" borderId="1" xfId="2" applyFont="1" applyFill="1" applyBorder="1" applyAlignment="1">
      <alignment horizontal="center" vertical="center"/>
    </xf>
    <xf numFmtId="0" fontId="4" fillId="2" borderId="2" xfId="2" applyFont="1" applyFill="1" applyBorder="1" applyAlignment="1">
      <alignment horizontal="center" vertical="center"/>
    </xf>
    <xf numFmtId="0" fontId="4" fillId="2" borderId="3" xfId="2" applyFont="1" applyFill="1" applyBorder="1" applyAlignment="1">
      <alignment horizontal="center" vertical="center"/>
    </xf>
    <xf numFmtId="0" fontId="5" fillId="0" borderId="0" xfId="2">
      <alignment vertical="center"/>
    </xf>
    <xf numFmtId="0" fontId="6" fillId="0" borderId="4" xfId="2" applyFont="1" applyBorder="1" applyAlignment="1">
      <alignment horizontal="center" vertical="center"/>
    </xf>
    <xf numFmtId="0" fontId="6" fillId="0" borderId="5" xfId="2" applyFont="1" applyBorder="1" applyAlignment="1">
      <alignment horizontal="center" vertical="center"/>
    </xf>
    <xf numFmtId="0" fontId="6" fillId="0" borderId="6" xfId="2" applyFont="1" applyBorder="1" applyAlignment="1">
      <alignment horizontal="center" vertical="center"/>
    </xf>
    <xf numFmtId="176" fontId="6" fillId="0" borderId="5" xfId="2" applyNumberFormat="1" applyFont="1" applyBorder="1" applyAlignment="1">
      <alignment horizontal="center" vertical="center"/>
    </xf>
    <xf numFmtId="0" fontId="7" fillId="0" borderId="5" xfId="2" applyFont="1" applyBorder="1" applyAlignment="1">
      <alignment horizontal="center" vertical="center"/>
    </xf>
    <xf numFmtId="0" fontId="6" fillId="0" borderId="7" xfId="2" applyFont="1" applyBorder="1" applyAlignment="1">
      <alignment horizontal="center" vertical="center"/>
    </xf>
    <xf numFmtId="0" fontId="6" fillId="0" borderId="8" xfId="2" applyFont="1" applyBorder="1" applyAlignment="1">
      <alignment horizontal="center" vertical="center"/>
    </xf>
    <xf numFmtId="176" fontId="6" fillId="0" borderId="8" xfId="2" applyNumberFormat="1" applyFont="1" applyBorder="1" applyAlignment="1">
      <alignment horizontal="center" vertical="center"/>
    </xf>
    <xf numFmtId="0" fontId="6" fillId="0" borderId="9" xfId="2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?>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L14"/>
  <sheetViews>
    <sheetView workbookViewId="0">
      <selection sqref="A1:I14"/>
    </sheetView>
  </sheetViews>
  <sheetFormatPr defaultColWidth="8.875" defaultRowHeight="13.5"/>
  <cols>
    <col min="1" max="16384" width="8.875" style="4"/>
  </cols>
  <sheetData>
    <row r="1" spans="1:12" ht="18.95" customHeight="1" thickTop="1">
      <c r="A1" s="1" t="s">
        <v>0</v>
      </c>
      <c r="B1" s="2"/>
      <c r="C1" s="2"/>
      <c r="D1" s="2"/>
      <c r="E1" s="2"/>
      <c r="F1" s="2"/>
      <c r="G1" s="2"/>
      <c r="H1" s="2"/>
      <c r="I1" s="3"/>
    </row>
    <row r="2" spans="1:12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6" t="s">
        <v>6</v>
      </c>
      <c r="G2" s="6" t="s">
        <v>7</v>
      </c>
      <c r="H2" s="6" t="s">
        <v>8</v>
      </c>
      <c r="I2" s="7" t="s">
        <v>9</v>
      </c>
    </row>
    <row r="3" spans="1:12">
      <c r="A3" s="5" t="s">
        <v>10</v>
      </c>
      <c r="B3" s="6">
        <v>1</v>
      </c>
      <c r="C3" s="6">
        <v>98</v>
      </c>
      <c r="D3" s="6">
        <v>77</v>
      </c>
      <c r="E3" s="6">
        <v>88</v>
      </c>
      <c r="F3" s="6">
        <v>65</v>
      </c>
      <c r="G3" s="6">
        <f ca="1">SUM(C3:H4)</f>
        <v>0</v>
      </c>
      <c r="H3" s="8">
        <f>AVERAGE(C3:F3)</f>
        <v>82</v>
      </c>
      <c r="I3" s="7" t="str">
        <f>IF(H3&gt;80,"良好"," ")</f>
        <v>良好</v>
      </c>
    </row>
    <row r="4" spans="1:12">
      <c r="A4" s="5" t="s">
        <v>11</v>
      </c>
      <c r="B4" s="6">
        <v>2</v>
      </c>
      <c r="C4" s="6">
        <v>88</v>
      </c>
      <c r="D4" s="6">
        <v>90</v>
      </c>
      <c r="E4" s="6">
        <v>99</v>
      </c>
      <c r="F4" s="6">
        <v>70</v>
      </c>
      <c r="G4" s="6">
        <f t="shared" ref="G4:G13" si="0">SUM(C4:E4)</f>
        <v>277</v>
      </c>
      <c r="H4" s="8">
        <f t="shared" ref="H4:H14" si="1">AVERAGE(C4:F4)</f>
        <v>86.75</v>
      </c>
      <c r="I4" s="7" t="str">
        <f t="shared" ref="I4:I14" si="2">IF(H4&gt;80,"良好"," ")</f>
        <v>良好</v>
      </c>
    </row>
    <row r="5" spans="1:12">
      <c r="A5" s="5" t="s">
        <v>12</v>
      </c>
      <c r="B5" s="6">
        <v>1</v>
      </c>
      <c r="C5" s="6">
        <v>67</v>
      </c>
      <c r="D5" s="6">
        <v>76</v>
      </c>
      <c r="E5" s="6">
        <v>76</v>
      </c>
      <c r="F5" s="6">
        <v>72</v>
      </c>
      <c r="G5" s="6">
        <f t="shared" si="0"/>
        <v>219</v>
      </c>
      <c r="H5" s="8">
        <f t="shared" si="1"/>
        <v>72.75</v>
      </c>
      <c r="I5" s="7" t="str">
        <f t="shared" si="2"/>
        <v xml:space="preserve"> </v>
      </c>
    </row>
    <row r="6" spans="1:12">
      <c r="A6" s="5" t="s">
        <v>13</v>
      </c>
      <c r="B6" s="6">
        <v>1</v>
      </c>
      <c r="C6" s="6">
        <v>66</v>
      </c>
      <c r="D6" s="6">
        <v>77</v>
      </c>
      <c r="E6" s="6">
        <v>66</v>
      </c>
      <c r="F6" s="6">
        <v>68</v>
      </c>
      <c r="G6" s="6">
        <f t="shared" si="0"/>
        <v>209</v>
      </c>
      <c r="H6" s="8">
        <f t="shared" si="1"/>
        <v>69.25</v>
      </c>
      <c r="I6" s="7" t="str">
        <f t="shared" si="2"/>
        <v xml:space="preserve"> </v>
      </c>
    </row>
    <row r="7" spans="1:12">
      <c r="A7" s="5" t="s">
        <v>14</v>
      </c>
      <c r="B7" s="6">
        <v>2</v>
      </c>
      <c r="C7" s="6">
        <v>77</v>
      </c>
      <c r="D7" s="6">
        <v>65</v>
      </c>
      <c r="E7" s="6">
        <v>77</v>
      </c>
      <c r="F7" s="6">
        <v>80</v>
      </c>
      <c r="G7" s="6">
        <f t="shared" si="0"/>
        <v>219</v>
      </c>
      <c r="H7" s="8">
        <f t="shared" si="1"/>
        <v>74.75</v>
      </c>
      <c r="I7" s="7" t="str">
        <f t="shared" si="2"/>
        <v xml:space="preserve"> </v>
      </c>
    </row>
    <row r="8" spans="1:12">
      <c r="A8" s="5" t="s">
        <v>15</v>
      </c>
      <c r="B8" s="6">
        <v>2</v>
      </c>
      <c r="C8" s="6">
        <v>88</v>
      </c>
      <c r="D8" s="6">
        <v>92</v>
      </c>
      <c r="E8" s="6">
        <v>100</v>
      </c>
      <c r="F8" s="6">
        <v>75</v>
      </c>
      <c r="G8" s="6">
        <f t="shared" si="0"/>
        <v>280</v>
      </c>
      <c r="H8" s="8">
        <f t="shared" si="1"/>
        <v>88.75</v>
      </c>
      <c r="I8" s="7" t="str">
        <f t="shared" si="2"/>
        <v>良好</v>
      </c>
    </row>
    <row r="9" spans="1:12">
      <c r="A9" s="5" t="s">
        <v>16</v>
      </c>
      <c r="B9" s="6">
        <v>2</v>
      </c>
      <c r="C9" s="6">
        <v>43</v>
      </c>
      <c r="D9" s="6">
        <v>56</v>
      </c>
      <c r="E9" s="6">
        <v>67</v>
      </c>
      <c r="F9" s="6">
        <v>77</v>
      </c>
      <c r="G9" s="6">
        <f t="shared" si="0"/>
        <v>166</v>
      </c>
      <c r="H9" s="8">
        <f t="shared" si="1"/>
        <v>60.75</v>
      </c>
      <c r="I9" s="7" t="str">
        <f t="shared" si="2"/>
        <v xml:space="preserve"> </v>
      </c>
    </row>
    <row r="10" spans="1:12">
      <c r="A10" s="5" t="s">
        <v>17</v>
      </c>
      <c r="B10" s="6">
        <v>3</v>
      </c>
      <c r="C10" s="6">
        <v>57</v>
      </c>
      <c r="D10" s="6">
        <v>77</v>
      </c>
      <c r="E10" s="6">
        <v>65</v>
      </c>
      <c r="F10" s="6">
        <v>69</v>
      </c>
      <c r="G10" s="6">
        <f t="shared" si="0"/>
        <v>199</v>
      </c>
      <c r="H10" s="8">
        <f t="shared" si="1"/>
        <v>67</v>
      </c>
      <c r="I10" s="7" t="str">
        <f t="shared" si="2"/>
        <v xml:space="preserve"> </v>
      </c>
    </row>
    <row r="11" spans="1:12">
      <c r="A11" s="5" t="s">
        <v>18</v>
      </c>
      <c r="B11" s="6">
        <v>3</v>
      </c>
      <c r="C11" s="6">
        <v>68</v>
      </c>
      <c r="D11" s="6">
        <v>79</v>
      </c>
      <c r="E11" s="6">
        <v>80</v>
      </c>
      <c r="F11" s="6">
        <v>60</v>
      </c>
      <c r="G11" s="6">
        <f t="shared" si="0"/>
        <v>227</v>
      </c>
      <c r="H11" s="8">
        <f t="shared" si="1"/>
        <v>71.75</v>
      </c>
      <c r="I11" s="7" t="str">
        <f t="shared" si="2"/>
        <v xml:space="preserve"> </v>
      </c>
    </row>
    <row r="12" spans="1:12">
      <c r="A12" s="5" t="s">
        <v>19</v>
      </c>
      <c r="B12" s="6">
        <v>1</v>
      </c>
      <c r="C12" s="6">
        <v>80</v>
      </c>
      <c r="D12" s="6">
        <v>85</v>
      </c>
      <c r="E12" s="6">
        <v>80</v>
      </c>
      <c r="F12" s="6">
        <v>78</v>
      </c>
      <c r="G12" s="6">
        <f t="shared" si="0"/>
        <v>245</v>
      </c>
      <c r="H12" s="8">
        <f t="shared" si="1"/>
        <v>80.75</v>
      </c>
      <c r="I12" s="7" t="str">
        <f t="shared" si="2"/>
        <v>良好</v>
      </c>
      <c r="L12" s="4" t="s">
        <v>20</v>
      </c>
    </row>
    <row r="13" spans="1:12">
      <c r="A13" s="5" t="s">
        <v>21</v>
      </c>
      <c r="B13" s="6">
        <v>3</v>
      </c>
      <c r="C13" s="6">
        <v>75</v>
      </c>
      <c r="D13" s="6">
        <v>68</v>
      </c>
      <c r="E13" s="6">
        <v>70</v>
      </c>
      <c r="F13" s="6">
        <v>80</v>
      </c>
      <c r="G13" s="6">
        <f t="shared" si="0"/>
        <v>213</v>
      </c>
      <c r="H13" s="8">
        <f t="shared" si="1"/>
        <v>73.25</v>
      </c>
      <c r="I13" s="7" t="str">
        <f t="shared" si="2"/>
        <v xml:space="preserve"> </v>
      </c>
    </row>
    <row r="14" spans="1:12" ht="14.25" thickBot="1">
      <c r="A14" s="9" t="s">
        <v>22</v>
      </c>
      <c r="B14" s="10">
        <v>3</v>
      </c>
      <c r="C14" s="10">
        <v>80</v>
      </c>
      <c r="D14" s="10">
        <v>69</v>
      </c>
      <c r="E14" s="10">
        <v>81</v>
      </c>
      <c r="F14" s="10">
        <v>74</v>
      </c>
      <c r="G14" s="10">
        <f>SUM(C14:E14)</f>
        <v>230</v>
      </c>
      <c r="H14" s="11">
        <f t="shared" si="1"/>
        <v>76</v>
      </c>
      <c r="I14" s="12" t="str">
        <f t="shared" si="2"/>
        <v xml:space="preserve"> </v>
      </c>
    </row>
  </sheetData>
  <mergeCells count="1">
    <mergeCell ref="A1:I1"/>
  </mergeCells>
  <phoneticPr fontId="3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I18"/>
  <sheetViews>
    <sheetView tabSelected="1" workbookViewId="0">
      <selection activeCell="B19" sqref="B19"/>
    </sheetView>
  </sheetViews>
  <sheetFormatPr defaultColWidth="8.875" defaultRowHeight="13.5" outlineLevelRow="2"/>
  <cols>
    <col min="1" max="16384" width="8.875" style="16"/>
  </cols>
  <sheetData>
    <row r="1" spans="1:9" ht="19.5" thickTop="1">
      <c r="A1" s="13" t="s">
        <v>0</v>
      </c>
      <c r="B1" s="14"/>
      <c r="C1" s="14"/>
      <c r="D1" s="14"/>
      <c r="E1" s="14"/>
      <c r="F1" s="14"/>
      <c r="G1" s="14"/>
      <c r="H1" s="14"/>
      <c r="I1" s="15"/>
    </row>
    <row r="2" spans="1:9">
      <c r="A2" s="17" t="s">
        <v>1</v>
      </c>
      <c r="B2" s="18" t="s">
        <v>2</v>
      </c>
      <c r="C2" s="18" t="s">
        <v>3</v>
      </c>
      <c r="D2" s="18" t="s">
        <v>4</v>
      </c>
      <c r="E2" s="18" t="s">
        <v>5</v>
      </c>
      <c r="F2" s="18" t="s">
        <v>6</v>
      </c>
      <c r="G2" s="18" t="s">
        <v>7</v>
      </c>
      <c r="H2" s="18" t="s">
        <v>8</v>
      </c>
      <c r="I2" s="19" t="s">
        <v>9</v>
      </c>
    </row>
    <row r="3" spans="1:9" outlineLevel="2">
      <c r="A3" s="17" t="s">
        <v>10</v>
      </c>
      <c r="B3" s="18">
        <v>1</v>
      </c>
      <c r="C3" s="18">
        <v>98</v>
      </c>
      <c r="D3" s="18">
        <v>77</v>
      </c>
      <c r="E3" s="18">
        <v>88</v>
      </c>
      <c r="F3" s="18">
        <v>65</v>
      </c>
      <c r="G3" s="18">
        <f ca="1">SUM(C3:H4)</f>
        <v>0</v>
      </c>
      <c r="H3" s="20">
        <f>AVERAGE(C3:F3)</f>
        <v>82</v>
      </c>
      <c r="I3" s="19" t="str">
        <f>IF(H3&gt;80,"良好"," ")</f>
        <v>良好</v>
      </c>
    </row>
    <row r="4" spans="1:9" outlineLevel="2">
      <c r="A4" s="17" t="s">
        <v>12</v>
      </c>
      <c r="B4" s="18">
        <v>1</v>
      </c>
      <c r="C4" s="18">
        <v>67</v>
      </c>
      <c r="D4" s="18">
        <v>76</v>
      </c>
      <c r="E4" s="18">
        <v>76</v>
      </c>
      <c r="F4" s="18">
        <v>72</v>
      </c>
      <c r="G4" s="18">
        <f>SUM(C4:E4)</f>
        <v>219</v>
      </c>
      <c r="H4" s="20">
        <f>AVERAGE(C4:F4)</f>
        <v>72.75</v>
      </c>
      <c r="I4" s="19" t="str">
        <f>IF(H4&gt;80,"良好"," ")</f>
        <v xml:space="preserve"> </v>
      </c>
    </row>
    <row r="5" spans="1:9" outlineLevel="2">
      <c r="A5" s="17" t="s">
        <v>13</v>
      </c>
      <c r="B5" s="18">
        <v>1</v>
      </c>
      <c r="C5" s="18">
        <v>66</v>
      </c>
      <c r="D5" s="18">
        <v>77</v>
      </c>
      <c r="E5" s="18">
        <v>66</v>
      </c>
      <c r="F5" s="18">
        <v>68</v>
      </c>
      <c r="G5" s="18">
        <f>SUM(C5:E5)</f>
        <v>209</v>
      </c>
      <c r="H5" s="20">
        <f>AVERAGE(C5:F5)</f>
        <v>69.25</v>
      </c>
      <c r="I5" s="19" t="str">
        <f>IF(H5&gt;80,"良好"," ")</f>
        <v xml:space="preserve"> </v>
      </c>
    </row>
    <row r="6" spans="1:9" outlineLevel="2">
      <c r="A6" s="17" t="s">
        <v>19</v>
      </c>
      <c r="B6" s="18">
        <v>1</v>
      </c>
      <c r="C6" s="18">
        <v>80</v>
      </c>
      <c r="D6" s="18">
        <v>85</v>
      </c>
      <c r="E6" s="18">
        <v>80</v>
      </c>
      <c r="F6" s="18">
        <v>78</v>
      </c>
      <c r="G6" s="18">
        <f>SUM(C6:E6)</f>
        <v>245</v>
      </c>
      <c r="H6" s="20">
        <f>AVERAGE(C6:F6)</f>
        <v>80.75</v>
      </c>
      <c r="I6" s="19" t="str">
        <f>IF(H6&gt;80,"良好"," ")</f>
        <v>良好</v>
      </c>
    </row>
    <row r="7" spans="1:9" outlineLevel="1">
      <c r="A7" s="17"/>
      <c r="B7" s="21" t="s">
        <v>23</v>
      </c>
      <c r="C7" s="20">
        <f>SUBTOTAL(1,C3:C6)</f>
        <v>77.75</v>
      </c>
      <c r="D7" s="20">
        <f>SUBTOTAL(1,D3:D6)</f>
        <v>78.75</v>
      </c>
      <c r="E7" s="20">
        <f>SUBTOTAL(1,E3:E6)</f>
        <v>77.5</v>
      </c>
      <c r="F7" s="20">
        <f>SUBTOTAL(1,F3:F6)</f>
        <v>70.75</v>
      </c>
      <c r="G7" s="18"/>
      <c r="H7" s="20"/>
      <c r="I7" s="19"/>
    </row>
    <row r="8" spans="1:9" outlineLevel="2">
      <c r="A8" s="17" t="s">
        <v>11</v>
      </c>
      <c r="B8" s="18">
        <v>2</v>
      </c>
      <c r="C8" s="18">
        <v>88</v>
      </c>
      <c r="D8" s="18">
        <v>90</v>
      </c>
      <c r="E8" s="18">
        <v>99</v>
      </c>
      <c r="F8" s="18">
        <v>70</v>
      </c>
      <c r="G8" s="18">
        <f>SUM(C8:E8)</f>
        <v>277</v>
      </c>
      <c r="H8" s="20">
        <f>AVERAGE(C8:F8)</f>
        <v>86.75</v>
      </c>
      <c r="I8" s="19" t="str">
        <f>IF(H8&gt;80,"良好"," ")</f>
        <v>良好</v>
      </c>
    </row>
    <row r="9" spans="1:9" outlineLevel="2">
      <c r="A9" s="17" t="s">
        <v>14</v>
      </c>
      <c r="B9" s="18">
        <v>2</v>
      </c>
      <c r="C9" s="18">
        <v>77</v>
      </c>
      <c r="D9" s="18">
        <v>65</v>
      </c>
      <c r="E9" s="18">
        <v>77</v>
      </c>
      <c r="F9" s="18">
        <v>80</v>
      </c>
      <c r="G9" s="18">
        <f>SUM(C9:E9)</f>
        <v>219</v>
      </c>
      <c r="H9" s="20">
        <f>AVERAGE(C9:F9)</f>
        <v>74.75</v>
      </c>
      <c r="I9" s="19" t="str">
        <f>IF(H9&gt;80,"良好"," ")</f>
        <v xml:space="preserve"> </v>
      </c>
    </row>
    <row r="10" spans="1:9" outlineLevel="2">
      <c r="A10" s="17" t="s">
        <v>15</v>
      </c>
      <c r="B10" s="18">
        <v>2</v>
      </c>
      <c r="C10" s="18">
        <v>88</v>
      </c>
      <c r="D10" s="18">
        <v>92</v>
      </c>
      <c r="E10" s="18">
        <v>100</v>
      </c>
      <c r="F10" s="18">
        <v>75</v>
      </c>
      <c r="G10" s="18">
        <f>SUM(C10:E10)</f>
        <v>280</v>
      </c>
      <c r="H10" s="20">
        <f>AVERAGE(C10:F10)</f>
        <v>88.75</v>
      </c>
      <c r="I10" s="19" t="str">
        <f>IF(H10&gt;80,"良好"," ")</f>
        <v>良好</v>
      </c>
    </row>
    <row r="11" spans="1:9" outlineLevel="2">
      <c r="A11" s="17" t="s">
        <v>16</v>
      </c>
      <c r="B11" s="18">
        <v>2</v>
      </c>
      <c r="C11" s="18">
        <v>43</v>
      </c>
      <c r="D11" s="18">
        <v>56</v>
      </c>
      <c r="E11" s="18">
        <v>67</v>
      </c>
      <c r="F11" s="18">
        <v>77</v>
      </c>
      <c r="G11" s="18">
        <f>SUM(C11:E11)</f>
        <v>166</v>
      </c>
      <c r="H11" s="20">
        <f>AVERAGE(C11:F11)</f>
        <v>60.75</v>
      </c>
      <c r="I11" s="19" t="str">
        <f>IF(H11&gt;80,"良好"," ")</f>
        <v xml:space="preserve"> </v>
      </c>
    </row>
    <row r="12" spans="1:9" outlineLevel="1">
      <c r="A12" s="17"/>
      <c r="B12" s="21" t="s">
        <v>24</v>
      </c>
      <c r="C12" s="20">
        <f>SUBTOTAL(1,C8:C11)</f>
        <v>74</v>
      </c>
      <c r="D12" s="20">
        <f>SUBTOTAL(1,D8:D11)</f>
        <v>75.75</v>
      </c>
      <c r="E12" s="20">
        <f>SUBTOTAL(1,E8:E11)</f>
        <v>85.75</v>
      </c>
      <c r="F12" s="20">
        <f>SUBTOTAL(1,F8:F11)</f>
        <v>75.5</v>
      </c>
      <c r="G12" s="18"/>
      <c r="H12" s="20"/>
      <c r="I12" s="19"/>
    </row>
    <row r="13" spans="1:9" outlineLevel="2">
      <c r="A13" s="17" t="s">
        <v>17</v>
      </c>
      <c r="B13" s="18">
        <v>3</v>
      </c>
      <c r="C13" s="18">
        <v>57</v>
      </c>
      <c r="D13" s="18">
        <v>77</v>
      </c>
      <c r="E13" s="18">
        <v>65</v>
      </c>
      <c r="F13" s="18">
        <v>69</v>
      </c>
      <c r="G13" s="18">
        <f>SUM(C13:E13)</f>
        <v>199</v>
      </c>
      <c r="H13" s="20">
        <f>AVERAGE(C13:F13)</f>
        <v>67</v>
      </c>
      <c r="I13" s="19" t="str">
        <f>IF(H13&gt;80,"良好"," ")</f>
        <v xml:space="preserve"> </v>
      </c>
    </row>
    <row r="14" spans="1:9" outlineLevel="2">
      <c r="A14" s="17" t="s">
        <v>18</v>
      </c>
      <c r="B14" s="18">
        <v>3</v>
      </c>
      <c r="C14" s="18">
        <v>68</v>
      </c>
      <c r="D14" s="18">
        <v>79</v>
      </c>
      <c r="E14" s="18">
        <v>80</v>
      </c>
      <c r="F14" s="18">
        <v>60</v>
      </c>
      <c r="G14" s="18">
        <f>SUM(C14:E14)</f>
        <v>227</v>
      </c>
      <c r="H14" s="20">
        <f>AVERAGE(C14:F14)</f>
        <v>71.75</v>
      </c>
      <c r="I14" s="19" t="str">
        <f>IF(H14&gt;80,"良好"," ")</f>
        <v xml:space="preserve"> </v>
      </c>
    </row>
    <row r="15" spans="1:9" outlineLevel="2">
      <c r="A15" s="17" t="s">
        <v>21</v>
      </c>
      <c r="B15" s="18">
        <v>3</v>
      </c>
      <c r="C15" s="18">
        <v>75</v>
      </c>
      <c r="D15" s="18">
        <v>68</v>
      </c>
      <c r="E15" s="18">
        <v>70</v>
      </c>
      <c r="F15" s="18">
        <v>80</v>
      </c>
      <c r="G15" s="18">
        <f>SUM(C15:E15)</f>
        <v>213</v>
      </c>
      <c r="H15" s="20">
        <f>AVERAGE(C15:F15)</f>
        <v>73.25</v>
      </c>
      <c r="I15" s="19" t="str">
        <f>IF(H15&gt;80,"良好"," ")</f>
        <v xml:space="preserve"> </v>
      </c>
    </row>
    <row r="16" spans="1:9" ht="14.25" outlineLevel="2" thickBot="1">
      <c r="A16" s="22" t="s">
        <v>22</v>
      </c>
      <c r="B16" s="23">
        <v>3</v>
      </c>
      <c r="C16" s="23">
        <v>80</v>
      </c>
      <c r="D16" s="23">
        <v>69</v>
      </c>
      <c r="E16" s="23">
        <v>81</v>
      </c>
      <c r="F16" s="23">
        <v>74</v>
      </c>
      <c r="G16" s="23">
        <f>SUM(C16:E16)</f>
        <v>230</v>
      </c>
      <c r="H16" s="24">
        <f>AVERAGE(C16:F16)</f>
        <v>76</v>
      </c>
      <c r="I16" s="25" t="str">
        <f>IF(H16&gt;80,"良好"," ")</f>
        <v xml:space="preserve"> </v>
      </c>
    </row>
    <row r="17" spans="1:9" ht="15" outlineLevel="1" thickTop="1" thickBot="1">
      <c r="A17" s="22"/>
      <c r="B17" s="26" t="s">
        <v>25</v>
      </c>
      <c r="C17" s="24">
        <f>SUBTOTAL(1,C13:C16)</f>
        <v>70</v>
      </c>
      <c r="D17" s="24">
        <f>SUBTOTAL(1,D13:D16)</f>
        <v>73.25</v>
      </c>
      <c r="E17" s="24">
        <f>SUBTOTAL(1,E13:E16)</f>
        <v>74</v>
      </c>
      <c r="F17" s="24">
        <f>SUBTOTAL(1,F13:F16)</f>
        <v>70.75</v>
      </c>
      <c r="G17" s="23"/>
      <c r="H17" s="24"/>
      <c r="I17" s="25"/>
    </row>
    <row r="18" spans="1:9" ht="15" thickTop="1" thickBot="1">
      <c r="A18" s="22"/>
      <c r="B18" s="26" t="s">
        <v>26</v>
      </c>
      <c r="C18" s="24">
        <f>SUBTOTAL(1,C3:C16)</f>
        <v>73.916666666666671</v>
      </c>
      <c r="D18" s="24">
        <f>SUBTOTAL(1,D3:D16)</f>
        <v>75.916666666666671</v>
      </c>
      <c r="E18" s="24">
        <f>SUBTOTAL(1,E3:E16)</f>
        <v>79.083333333333329</v>
      </c>
      <c r="F18" s="24">
        <f>SUBTOTAL(1,F3:F16)</f>
        <v>72.333333333333329</v>
      </c>
      <c r="G18" s="23"/>
      <c r="H18" s="24"/>
      <c r="I18" s="25"/>
    </row>
  </sheetData>
  <mergeCells count="1">
    <mergeCell ref="A1:I1"/>
  </mergeCells>
  <phoneticPr fontId="3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分类统计表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Sky123.Org</cp:lastModifiedBy>
  <dcterms:created xsi:type="dcterms:W3CDTF">2015-01-15T16:55:01Z</dcterms:created>
  <dcterms:modified xsi:type="dcterms:W3CDTF">2021-10-29T00:53:07Z</dcterms:modified>
</cp:coreProperties>
</file>